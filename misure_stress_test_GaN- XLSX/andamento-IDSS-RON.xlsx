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externalLinks/externalLink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1.xml" ContentType="application/vnd.openxmlformats-officedocument.theme+xml"/>
  <Override PartName="/xl/charts/chart2.xml" ContentType="application/vnd.openxmlformats-officedocument.drawingml.chart+xml"/>
  <Override PartName="/xl/externalLinks/externalLink10.xml" ContentType="application/vnd.openxmlformats-officedocument.spreadsheetml.externalLink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1.xml" ContentType="application/vnd.openxmlformats-officedocument.spreadsheetml.externalLink+xml"/>
  <Override PartName="/xl/charts/style2.xml" ContentType="application/vnd.ms-office.chartstyle+xml"/>
  <Override PartName="/xl/styles.xml" ContentType="application/vnd.openxmlformats-officedocument.spreadsheetml.styl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charts/colors2.xml" ContentType="application/vnd.ms-office.chartcolorstyle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2"/>
  </sheets>
  <externalReferences>
    <externalReference r:id="rId1"/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<sst xmlns="http://schemas.openxmlformats.org/spreadsheetml/2006/main" count="6" uniqueCount="6">
  <si>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 xml:space="preserve">tensione di stress</t>
  </si>
  <si>
    <t>IDSS</t>
  </si>
  <si>
    <t xml:space="preserve">RON (1/IDSS)</t>
  </si>
  <si>
    <t xml:space="preserve">IDSS ed RON sono valori ricavati tramite un test sweep IDVD dopo ogni fase di stress (condizione di bias definita con una tensione di stress)</t>
  </si>
  <si>
    <t xml:space="preserve">IDSS corrisponde al corrente del canale ad una VGS=0V e una VDS=7V</t>
  </si>
  <si>
    <t xml:space="preserve">RON corrisponde alla resistenza dinamica del canale ( resistenza mentre il dispositivo è in conduzione) ed è l'inverso della IDSS ricavata però ad una VGS=0V e una VDS=1V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</si>
</sst>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2" borderId="0" numFmtId="0" xfId="0" applyFill="1" applyAlignment="1">
      <alignment horizontal="center"/>
    </xf>
    <xf fontId="0" fillId="2" borderId="0" numFmtId="0" xfId="0" applyFill="1"/>
    <xf fontId="0" fillId="0" borderId="0" numFmt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externalLink" Target="externalLinks/externalLink10.xml"/><Relationship  Id="rId11" Type="http://schemas.openxmlformats.org/officeDocument/2006/relationships/externalLink" Target="externalLinks/externalLink11.xml"/><Relationship  Id="rId12" Type="http://schemas.openxmlformats.org/officeDocument/2006/relationships/worksheet" Target="worksheets/sheet1.xml"/><Relationship  Id="rId13" Type="http://schemas.openxmlformats.org/officeDocument/2006/relationships/theme" Target="theme/theme1.xml"/><Relationship  Id="rId14" Type="http://schemas.openxmlformats.org/officeDocument/2006/relationships/sharedStrings" Target="sharedStrings.xml"/><Relationship  Id="rId15" Type="http://schemas.openxmlformats.org/officeDocument/2006/relationships/styles" Target="styles.xml"/><Relationship  Id="rId2" Type="http://schemas.openxmlformats.org/officeDocument/2006/relationships/externalLink" Target="externalLinks/externalLink2.xml"/><Relationship  Id="rId3" Type="http://schemas.openxmlformats.org/officeDocument/2006/relationships/externalLink" Target="externalLinks/externalLink3.xml"/><Relationship  Id="rId4" Type="http://schemas.openxmlformats.org/officeDocument/2006/relationships/externalLink" Target="externalLinks/externalLink4.xml"/><Relationship  Id="rId5" Type="http://schemas.openxmlformats.org/officeDocument/2006/relationships/externalLink" Target="externalLinks/externalLink5.xml"/><Relationship  Id="rId6" Type="http://schemas.openxmlformats.org/officeDocument/2006/relationships/externalLink" Target="externalLinks/externalLink6.xml"/><Relationship  Id="rId7" Type="http://schemas.openxmlformats.org/officeDocument/2006/relationships/externalLink" Target="externalLinks/externalLink7.xml"/><Relationship  Id="rId8" Type="http://schemas.openxmlformats.org/officeDocument/2006/relationships/externalLink" Target="externalLinks/externalLink8.xml"/><Relationship  Id="rId9" Type="http://schemas.openxmlformats.org/officeDocument/2006/relationships/externalLink" Target="externalLinks/externalLink9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it-IT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IDSS con VGS=0V e VDS=7V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IDSS</c:v>
                </c:pt>
              </c:strCache>
            </c:strRef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Sheet1!$B$4:$C$14</c:f>
              <c:strCach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strCache>
            </c:strRef>
          </c:xVal>
          <c:yVal>
            <c:numRef>
              <c:f>Sheet1!$D$4:$D$14</c:f>
              <c:numCache>
                <c:formatCode>General</c:formatCode>
                <c:ptCount val="11"/>
                <c:pt idx="0">
                  <c:v>0.236611</c:v>
                </c:pt>
                <c:pt idx="1">
                  <c:v>0.232392</c:v>
                </c:pt>
                <c:pt idx="2">
                  <c:v>0.230148</c:v>
                </c:pt>
                <c:pt idx="3">
                  <c:v>0.229163</c:v>
                </c:pt>
                <c:pt idx="4">
                  <c:v>0.22803</c:v>
                </c:pt>
                <c:pt idx="5">
                  <c:v>0.226649</c:v>
                </c:pt>
                <c:pt idx="6">
                  <c:v>0.224977</c:v>
                </c:pt>
                <c:pt idx="7">
                  <c:v>0.22355</c:v>
                </c:pt>
                <c:pt idx="8">
                  <c:v>0.222284</c:v>
                </c:pt>
                <c:pt idx="9">
                  <c:v>0.221032</c:v>
                </c:pt>
                <c:pt idx="10">
                  <c:v>0.219456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910961663"/>
        <c:axId val="1910957343"/>
      </c:scatterChart>
      <c:valAx>
        <c:axId val="1910961663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/>
                  <a:t>Tensione di stress (valori x10)</a:t>
                </a:r>
                <a:endParaRPr b="0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10957343"/>
        <c:crosses val="autoZero"/>
        <c:crossBetween val="midCat"/>
      </c:valAx>
      <c:valAx>
        <c:axId val="1910957343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10961663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it-IT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RON con VGS=0V e VDS=1V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RON (1/IDSS)</c:v>
                </c:pt>
              </c:strCache>
            </c:strRef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Sheet1!$B$4:$C$14</c:f>
              <c:strCach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strCache>
            </c:strRef>
          </c:xVal>
          <c:yVal>
            <c:numRef>
              <c:f>Sheet1!$E$4:$E$14</c:f>
              <c:numCache>
                <c:formatCode>General</c:formatCode>
                <c:ptCount val="11"/>
                <c:pt idx="0">
                  <c:v>9.264663646386317</c:v>
                </c:pt>
                <c:pt idx="1">
                  <c:v>9.324530976091902</c:v>
                </c:pt>
                <c:pt idx="2">
                  <c:v>9.374707040404987</c:v>
                </c:pt>
                <c:pt idx="3">
                  <c:v>9.41655052921014</c:v>
                </c:pt>
                <c:pt idx="4">
                  <c:v>9.482178245986669</c:v>
                </c:pt>
                <c:pt idx="5">
                  <c:v>9.551736983370427</c:v>
                </c:pt>
                <c:pt idx="6">
                  <c:v>9.60015360245764</c:v>
                </c:pt>
                <c:pt idx="7">
                  <c:v>9.65446663899053</c:v>
                </c:pt>
                <c:pt idx="8">
                  <c:v>9.710812018100954</c:v>
                </c:pt>
                <c:pt idx="9">
                  <c:v>9.802383939774154</c:v>
                </c:pt>
                <c:pt idx="10">
                  <c:v>9.94184023462743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910961663"/>
        <c:axId val="1910957343"/>
      </c:scatterChart>
      <c:valAx>
        <c:axId val="1910961663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p>
                <a:pPr marL="0" marR="0" indent="0">
                  <a:defRPr/>
                </a:pPr>
                <a:r>
                  <a:rPr sz="1000" b="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Tensione di stress (valori x10)</a:t>
                </a:r>
                <a:endParaRPr sz="1200" b="0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10957343"/>
        <c:crosses val="autoZero"/>
        <c:crossBetween val="midCat"/>
      </c:valAx>
      <c:valAx>
        <c:axId val="1910957343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10961663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9</xdr:col>
      <xdr:colOff>0</xdr:colOff>
      <xdr:row>2</xdr:row>
      <xdr:rowOff>0</xdr:rowOff>
    </xdr:from>
    <xdr:to>
      <xdr:col>17</xdr:col>
      <xdr:colOff>66676</xdr:colOff>
      <xdr:row>16</xdr:row>
      <xdr:rowOff>76200</xdr:rowOff>
    </xdr:to>
    <xdr:graphicFrame>
      <xdr:nvGraphicFramePr>
        <xdr:cNvPr id="2" name="Grafico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19</xdr:col>
      <xdr:colOff>0</xdr:colOff>
      <xdr:row>2</xdr:row>
      <xdr:rowOff>0</xdr:rowOff>
    </xdr:from>
    <xdr:to>
      <xdr:col>27</xdr:col>
      <xdr:colOff>66676</xdr:colOff>
      <xdr:row>16</xdr:row>
      <xdr:rowOff>76200</xdr:rowOff>
    </xdr:to>
    <xdr:graphicFrame>
      <xdr:nvGraphicFramePr>
        <xdr:cNvPr id="3" name="Grafico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test-iniziale-IDVD-ciclo-1.xlsx" TargetMode="External"/></Relationships>
</file>

<file path=xl/externalLinks/_rels/externalLink2.xml.rels><?xml version="1.0" encoding="UTF-8" standalone="yes"?><Relationships xmlns="http://schemas.openxmlformats.org/package/2006/relationships"><Relationship  Id="rId1" Type="http://schemas.openxmlformats.org/officeDocument/2006/relationships/externalLinkPath" Target="test-iniziale-IDVD-ciclo-2.xlsx" TargetMode="External"/></Relationships>
</file>

<file path=xl/externalLinks/_rels/externalLink3.xml.rels><?xml version="1.0" encoding="UTF-8" standalone="yes"?><Relationships xmlns="http://schemas.openxmlformats.org/package/2006/relationships"><Relationship  Id="rId1" Type="http://schemas.openxmlformats.org/officeDocument/2006/relationships/externalLinkPath" Target="test-iniziale-IDVD-ciclo-3.xlsx" TargetMode="External"/></Relationships>
</file>

<file path=xl/externalLinks/_rels/externalLink4.xml.rels><?xml version="1.0" encoding="UTF-8" standalone="yes"?><Relationships xmlns="http://schemas.openxmlformats.org/package/2006/relationships"><Relationship  Id="rId1" Type="http://schemas.openxmlformats.org/officeDocument/2006/relationships/externalLinkPath" Target="test-iniziale-IDVD-ciclo-4.xlsx" TargetMode="External"/></Relationships>
</file>

<file path=xl/externalLinks/_rels/externalLink5.xml.rels><?xml version="1.0" encoding="UTF-8" standalone="yes"?><Relationships xmlns="http://schemas.openxmlformats.org/package/2006/relationships"><Relationship  Id="rId1" Type="http://schemas.openxmlformats.org/officeDocument/2006/relationships/externalLinkPath" Target="test-iniziale-IDVD-ciclo-5.xlsx" TargetMode="External"/></Relationships>
</file>

<file path=xl/externalLinks/_rels/externalLink6.xml.rels><?xml version="1.0" encoding="UTF-8" standalone="yes"?><Relationships xmlns="http://schemas.openxmlformats.org/package/2006/relationships"><Relationship  Id="rId1" Type="http://schemas.openxmlformats.org/officeDocument/2006/relationships/externalLinkPath" Target="test-iniziale-IDVD-ciclo-6.xlsx" TargetMode="External"/></Relationships>
</file>

<file path=xl/externalLinks/_rels/externalLink7.xml.rels><?xml version="1.0" encoding="UTF-8" standalone="yes"?><Relationships xmlns="http://schemas.openxmlformats.org/package/2006/relationships"><Relationship  Id="rId1" Type="http://schemas.openxmlformats.org/officeDocument/2006/relationships/externalLinkPath" Target="test-iniziale-IDVD-ciclo-7.xlsx" TargetMode="External"/></Relationships>
</file>

<file path=xl/externalLinks/_rels/externalLink8.xml.rels><?xml version="1.0" encoding="UTF-8" standalone="yes"?><Relationships xmlns="http://schemas.openxmlformats.org/package/2006/relationships"><Relationship  Id="rId1" Type="http://schemas.openxmlformats.org/officeDocument/2006/relationships/externalLinkPath" Target="test-iniziale-IDVD-ciclo-8.xlsx" TargetMode="External"/></Relationships>
</file>

<file path=xl/externalLinks/_rels/externalLink9.xml.rels><?xml version="1.0" encoding="UTF-8" standalone="yes"?><Relationships xmlns="http://schemas.openxmlformats.org/package/2006/relationships"><Relationship  Id="rId1" Type="http://schemas.openxmlformats.org/officeDocument/2006/relationships/externalLinkPath" Target="test-iniziale-IDVD-ciclo-9.xlsx" TargetMode="External"/></Relationships>
</file>

<file path=xl/externalLinks/_rels/externalLink10.xml.rels><?xml version="1.0" encoding="UTF-8" standalone="yes"?><Relationships xmlns="http://schemas.openxmlformats.org/package/2006/relationships"><Relationship  Id="rId1" Type="http://schemas.openxmlformats.org/officeDocument/2006/relationships/externalLinkPath" Target="test-iniziale-IDVD-ciclo-10.xlsx" TargetMode="External"/></Relationships>
</file>

<file path=xl/externalLinks/_rels/externalLink11.xml.rels><?xml version="1.0" encoding="UTF-8" standalone="yes"?><Relationships xmlns="http://schemas.openxmlformats.org/package/2006/relationships"><Relationship  Id="rId1" Type="http://schemas.openxmlformats.org/officeDocument/2006/relationships/externalLinkPath" Target="test-finale-IDV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D-ciclo-1"/>
    </sheetNames>
    <sheetDataSet>
      <sheetData sheetId="0">
        <row r="367">
          <cell r="F367" t="n">
            <v>0.107937</v>
          </cell>
        </row>
        <row r="427">
          <cell r="F427" t="n">
            <v>0.236611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D-ciclo-2"/>
    </sheetNames>
    <sheetDataSet>
      <sheetData sheetId="0">
        <row r="367">
          <cell r="F367" t="n">
            <v>0.107244</v>
          </cell>
        </row>
        <row r="427">
          <cell r="F427" t="n">
            <v>0.232392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D-ciclo-3"/>
    </sheetNames>
    <sheetDataSet>
      <sheetData sheetId="0">
        <row r="367">
          <cell r="F367" t="n">
            <v>0.10667</v>
          </cell>
        </row>
        <row r="427">
          <cell r="F427" t="n">
            <v>0.230148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D-ciclo-4"/>
    </sheetNames>
    <sheetDataSet>
      <sheetData sheetId="0">
        <row r="367">
          <cell r="F367" t="n">
            <v>0.106196</v>
          </cell>
        </row>
        <row r="427">
          <cell r="F427" t="n">
            <v>0.229163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D-ciclo-5"/>
    </sheetNames>
    <sheetDataSet>
      <sheetData sheetId="0">
        <row r="367">
          <cell r="F367" t="n">
            <v>0.105461</v>
          </cell>
        </row>
        <row r="427">
          <cell r="F427" t="n">
            <v>0.22803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D-ciclo-6"/>
    </sheetNames>
    <sheetDataSet>
      <sheetData sheetId="0">
        <row r="367">
          <cell r="F367" t="n">
            <v>0.104693</v>
          </cell>
        </row>
        <row r="427">
          <cell r="F427" t="n">
            <v>0.226649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D-ciclo-7"/>
    </sheetNames>
    <sheetDataSet>
      <sheetData sheetId="0">
        <row r="367">
          <cell r="F367" t="n">
            <v>0.104165</v>
          </cell>
        </row>
        <row r="427">
          <cell r="F427" t="n">
            <v>0.224977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D-ciclo-8"/>
    </sheetNames>
    <sheetDataSet>
      <sheetData sheetId="0">
        <row r="367">
          <cell r="F367" t="n">
            <v>0.103579</v>
          </cell>
        </row>
        <row r="427">
          <cell r="F427" t="n">
            <v>0.22355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D-ciclo-9"/>
    </sheetNames>
    <sheetDataSet>
      <sheetData sheetId="0">
        <row r="367">
          <cell r="F367" t="n">
            <v>0.102978</v>
          </cell>
        </row>
        <row r="427">
          <cell r="F427" t="n">
            <v>0.222284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D-ciclo-10"/>
    </sheetNames>
    <sheetDataSet>
      <sheetData sheetId="0">
        <row r="367">
          <cell r="F367" t="n">
            <v>0.102016</v>
          </cell>
        </row>
        <row r="427">
          <cell r="F427" t="n">
            <v>0.221032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finale-IDVD"/>
    </sheetNames>
    <sheetDataSet>
      <sheetData sheetId="0">
        <row r="367">
          <cell r="F367" t="n">
            <v>0.100585</v>
          </cell>
        </row>
        <row r="427">
          <cell r="F427" t="n">
            <v>0.219456</v>
          </cell>
        </row>
      </sheetData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9" activeCellId="0" sqref="H9"/>
    </sheetView>
  </sheetViews>
  <sheetFormatPr defaultRowHeight="14.25"/>
  <sheetData>
    <row r="3">
      <c r="B3" s="1" t="s">
        <v>0</v>
      </c>
      <c r="C3" s="1"/>
      <c r="D3" s="2" t="s">
        <v>1</v>
      </c>
      <c r="E3" s="2" t="s">
        <v>2</v>
      </c>
    </row>
    <row r="4">
      <c r="B4" s="3">
        <v>0</v>
      </c>
      <c r="C4" s="3"/>
      <c r="D4">
        <f>'[1]test-iniziale-IDVD-ciclo-1'!$F$427</f>
        <v>0.23661099999999999</v>
      </c>
      <c r="E4">
        <f>1/('[1]test-iniziale-IDVD-ciclo-1'!$F$367)</f>
        <v>9.2646636463863175</v>
      </c>
    </row>
    <row r="5">
      <c r="B5" s="3">
        <v>10</v>
      </c>
      <c r="C5" s="3"/>
      <c r="D5">
        <f>'[2]test-iniziale-IDVD-ciclo-2'!$F$427</f>
        <v>0.23239199999999999</v>
      </c>
      <c r="E5">
        <f>1/('[2]test-iniziale-IDVD-ciclo-2'!$F$367)</f>
        <v>9.3245309760919017</v>
      </c>
    </row>
    <row r="6">
      <c r="B6" s="3">
        <v>20</v>
      </c>
      <c r="C6" s="3"/>
      <c r="D6">
        <f>'[3]test-iniziale-IDVD-ciclo-3'!$F$427</f>
        <v>0.23014799999999999</v>
      </c>
      <c r="E6">
        <f>1/('[3]test-iniziale-IDVD-ciclo-3'!$F$367)</f>
        <v>9.3747070404049868</v>
      </c>
    </row>
    <row r="7">
      <c r="B7" s="3">
        <v>30</v>
      </c>
      <c r="C7" s="3"/>
      <c r="D7">
        <f>'[4]test-iniziale-IDVD-ciclo-4'!$F$427</f>
        <v>0.22916300000000001</v>
      </c>
      <c r="E7">
        <f>1/('[4]test-iniziale-IDVD-ciclo-4'!$F$367)</f>
        <v>9.4165505292101397</v>
      </c>
    </row>
    <row r="8">
      <c r="B8" s="3">
        <v>40</v>
      </c>
      <c r="C8" s="3"/>
      <c r="D8">
        <f>'[5]test-iniziale-IDVD-ciclo-5'!$F$427</f>
        <v>0.22803000000000001</v>
      </c>
      <c r="E8">
        <f>1/('[5]test-iniziale-IDVD-ciclo-5'!$F$367)</f>
        <v>9.4821782459866686</v>
      </c>
    </row>
    <row r="9">
      <c r="B9" s="3">
        <v>50</v>
      </c>
      <c r="C9" s="3"/>
      <c r="D9">
        <f>'[6]test-iniziale-IDVD-ciclo-6'!$F$427</f>
        <v>0.22664899999999999</v>
      </c>
      <c r="E9">
        <f>1/('[6]test-iniziale-IDVD-ciclo-6'!$F$367)</f>
        <v>9.5517369833704269</v>
      </c>
    </row>
    <row r="10">
      <c r="B10" s="3">
        <v>60</v>
      </c>
      <c r="C10" s="3"/>
      <c r="D10">
        <f>'[7]test-iniziale-IDVD-ciclo-7'!$F$427</f>
        <v>0.22497700000000001</v>
      </c>
      <c r="E10">
        <f>1/('[7]test-iniziale-IDVD-ciclo-7'!$F$367)</f>
        <v>9.6001536024576399</v>
      </c>
    </row>
    <row r="11">
      <c r="B11" s="3">
        <v>70</v>
      </c>
      <c r="C11" s="3"/>
      <c r="D11">
        <f>'[8]test-iniziale-IDVD-ciclo-8'!$F$427</f>
        <v>0.22355</v>
      </c>
      <c r="E11">
        <f>1/('[8]test-iniziale-IDVD-ciclo-8'!$F$367)</f>
        <v>9.6544666389905291</v>
      </c>
    </row>
    <row r="12">
      <c r="B12" s="3">
        <v>80</v>
      </c>
      <c r="C12" s="3"/>
      <c r="D12">
        <f>'[9]test-iniziale-IDVD-ciclo-9'!$F$427</f>
        <v>0.22228400000000001</v>
      </c>
      <c r="E12">
        <f>1/('[9]test-iniziale-IDVD-ciclo-9'!$F$367)</f>
        <v>9.7108120181009543</v>
      </c>
    </row>
    <row r="13">
      <c r="B13" s="3">
        <v>90</v>
      </c>
      <c r="C13" s="3"/>
      <c r="D13">
        <f>'[10]test-iniziale-IDVD-ciclo-10'!$F$427</f>
        <v>0.22103200000000001</v>
      </c>
      <c r="E13">
        <f>1/('[10]test-iniziale-IDVD-ciclo-10'!$F$367)</f>
        <v>9.8023839397741543</v>
      </c>
    </row>
    <row r="14">
      <c r="B14" s="3">
        <v>100</v>
      </c>
      <c r="C14" s="3"/>
      <c r="D14">
        <f>'[11]test-finale-IDVD'!$F$427</f>
        <v>0.21945600000000001</v>
      </c>
      <c r="E14">
        <f>1/('[11]test-finale-IDVD'!$F$367)</f>
        <v>9.9418402346274295</v>
      </c>
    </row>
    <row r="19">
      <c r="B19" t="s">
        <v>3</v>
      </c>
    </row>
    <row r="21">
      <c r="B21" t="s">
        <v>4</v>
      </c>
    </row>
    <row r="22">
      <c r="B22" t="s">
        <v>5</v>
      </c>
    </row>
  </sheetData>
  <mergeCells count="12"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Gioele Bianchi</dc:creator>
  <cp:revision>1</cp:revision>
  <dcterms:created xsi:type="dcterms:W3CDTF">2015-06-05T18:17:20Z</dcterms:created>
  <dcterms:modified xsi:type="dcterms:W3CDTF">2026-03-05T15:16:07Z</dcterms:modified>
</cp:coreProperties>
</file>