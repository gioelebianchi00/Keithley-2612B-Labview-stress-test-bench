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gioel\Koofr\università\tesi_magistrale\misure_stress_test_GaN- XLSX\"/>
    </mc:Choice>
  </mc:AlternateContent>
  <xr:revisionPtr revIDLastSave="0" documentId="13_ncr:1_{EB6B7501-AE81-44FB-98D4-32F7C6E101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sharedStrings.xml><?xml version="1.0" encoding="utf-8"?>
<sst xmlns="http://schemas.openxmlformats.org/spreadsheetml/2006/main" count="6" uniqueCount="6">
  <si>
    <t>tensione di stress</t>
  </si>
  <si>
    <t>IDSS</t>
  </si>
  <si>
    <t>RON (1/IDSS)</t>
  </si>
  <si>
    <t>IDSS ed RON sono valori ricavati tramite un test sweep IDVD dopo ogni fase di stress (condizione di bias definita con una tensione di stress)</t>
  </si>
  <si>
    <t>IDSS corrisponde al corrente del canale ad una VGS=0V e una VDS=7V</t>
  </si>
  <si>
    <t>RON corrisponde alla resistenza dinamica del canale ( resistenza mentre il dispositivo è in conduzione) ed è l'inverso della IDSS ricavata però ad una VGS=0V e una VDS=1V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</si>
</sst>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2" Type="http://schemas.openxmlformats.org/officeDocument/2006/relationships/externalLink" Target="externalLinks/externalLink1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>
                <a:solidFill>
                  <a:sysClr val="windowText" lastClr="000000"/>
                </a:solidFill>
              </a:rPr>
              <a:t>IDSS (VGS=0V,</a:t>
            </a:r>
            <a:r>
              <a:rPr lang="en-US" sz="2800" baseline="0">
                <a:solidFill>
                  <a:sysClr val="windowText" lastClr="000000"/>
                </a:solidFill>
              </a:rPr>
              <a:t> </a:t>
            </a:r>
            <a:r>
              <a:rPr lang="en-US" sz="2800">
                <a:solidFill>
                  <a:sysClr val="windowText" lastClr="000000"/>
                </a:solidFill>
              </a:rPr>
              <a:t>VDS=7V), during stress 10V/step</a:t>
            </a:r>
          </a:p>
        </c:rich>
      </c:tx>
      <c:layout>
        <c:manualLayout>
          <c:xMode val="edge"/>
          <c:yMode val="edge"/>
          <c:x val="0.1960164478120906"/>
          <c:y val="2.708883400699922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4142537045916878"/>
          <c:y val="0.14199866231742081"/>
          <c:w val="0.81563582688596226"/>
          <c:h val="0.69951855615600611"/>
        </c:manualLayout>
      </c:layout>
      <c:lineChart>
        <c:grouping val="standard"/>
        <c:varyColors val="0"/>
        <c:ser>
          <c:idx val="0"/>
          <c:order val="0"/>
          <c:tx>
            <c:strRef>
              <c:f>Sheet1!$D$3</c:f>
              <c:strCache>
                <c:ptCount val="1"/>
                <c:pt idx="0">
                  <c:v>IDSS</c:v>
                </c:pt>
              </c:strCache>
            </c:strRef>
          </c:tx>
          <c:spPr>
            <a:prstGeom prst="rect">
              <a:avLst/>
            </a:prstGeom>
            <a:ln w="50800" cap="rnd">
              <a:solidFill>
                <a:schemeClr val="accent1"/>
              </a:solidFill>
              <a:round/>
            </a:ln>
            <a:effectLst/>
          </c:spPr>
          <c:cat>
            <c:strRef>
              <c:f>Sheet1!$B$4:$C$14</c:f>
              <c:strCach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strCache>
            </c:strRef>
          </c:cat>
          <c:val>
            <c:numRef>
              <c:f>Sheet1!$D$4:$D$14</c:f>
              <c:numCache>
                <c:formatCode>General</c:formatCode>
                <c:ptCount val="11"/>
                <c:pt idx="0">
                  <c:v>0.23661099999999999</c:v>
                </c:pt>
                <c:pt idx="1">
                  <c:v>0.23239199999999999</c:v>
                </c:pt>
                <c:pt idx="2">
                  <c:v>0.23014799999999999</c:v>
                </c:pt>
                <c:pt idx="3">
                  <c:v>0.22916300000000001</c:v>
                </c:pt>
                <c:pt idx="4">
                  <c:v>0.22803000000000001</c:v>
                </c:pt>
                <c:pt idx="5">
                  <c:v>0.22664899999999999</c:v>
                </c:pt>
                <c:pt idx="6">
                  <c:v>0.22497700000000001</c:v>
                </c:pt>
                <c:pt idx="7">
                  <c:v>0.22355</c:v>
                </c:pt>
                <c:pt idx="8">
                  <c:v>0.22228400000000001</c:v>
                </c:pt>
                <c:pt idx="9">
                  <c:v>0.22103200000000001</c:v>
                </c:pt>
                <c:pt idx="10">
                  <c:v>0.21945600000000001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5F-4A5A-8E0A-C2B4FE9DE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961663"/>
        <c:axId val="1910957343"/>
      </c:lineChart>
      <c:catAx>
        <c:axId val="1910961663"/>
        <c:scaling>
          <c:orientation val="minMax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 sz="2400" b="0" baseline="0">
                    <a:solidFill>
                      <a:sysClr val="windowText" lastClr="000000"/>
                    </a:solidFill>
                  </a:rPr>
                  <a:t>Stress Voltage </a:t>
                </a:r>
                <a:r>
                  <a:rPr lang="it-IT" sz="2400" b="0">
                    <a:solidFill>
                      <a:sysClr val="windowText" lastClr="000000"/>
                    </a:solidFill>
                  </a:rPr>
                  <a:t>(V)</a:t>
                </a:r>
              </a:p>
            </c:rich>
          </c:tx>
          <c:layout>
            <c:manualLayout>
              <c:xMode val="edge"/>
              <c:yMode val="edge"/>
              <c:x val="0.4232503980503079"/>
              <c:y val="0.92203245479988849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10957343"/>
        <c:crosses val="autoZero"/>
        <c:auto val="1"/>
        <c:lblAlgn val="ctr"/>
        <c:lblOffset val="100"/>
        <c:noMultiLvlLbl val="1"/>
      </c:catAx>
      <c:valAx>
        <c:axId val="1910957343"/>
        <c:scaling>
          <c:orientation val="minMax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it-IT" sz="2400" b="0"/>
                  <a:t>GaN Current (A)</a:t>
                </a:r>
              </a:p>
            </c:rich>
          </c:tx>
          <c:layout>
            <c:manualLayout>
              <c:xMode val="edge"/>
              <c:yMode val="edge"/>
              <c:x val="1.2899644664502991E-2"/>
              <c:y val="0.3584651082715404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10961663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2800">
                <a:solidFill>
                  <a:sysClr val="windowText" lastClr="000000"/>
                </a:solidFill>
              </a:rPr>
              <a:t>RON (VGS=0V,</a:t>
            </a:r>
            <a:r>
              <a:rPr lang="en-US" sz="2800" baseline="0">
                <a:solidFill>
                  <a:sysClr val="windowText" lastClr="000000"/>
                </a:solidFill>
              </a:rPr>
              <a:t> </a:t>
            </a:r>
            <a:r>
              <a:rPr lang="en-US" sz="2800">
                <a:solidFill>
                  <a:sysClr val="windowText" lastClr="000000"/>
                </a:solidFill>
              </a:rPr>
              <a:t>VDS=1V)</a:t>
            </a:r>
            <a:r>
              <a:rPr lang="en-US" sz="2800" b="0" i="0" u="none" strike="noStrike" kern="1200" spc="0" baseline="0">
                <a:solidFill>
                  <a:sysClr val="windowText" lastClr="000000"/>
                </a:solidFill>
              </a:rPr>
              <a:t>, during stress 10V/step</a:t>
            </a:r>
            <a:endParaRPr lang="en-US" sz="2800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2122198305316387"/>
          <c:y val="2.5156945206314379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2667939387727212"/>
          <c:y val="0.14078304991771803"/>
          <c:w val="0.83454916632499654"/>
          <c:h val="0.7036001401840678"/>
        </c:manualLayout>
      </c:layout>
      <c:lineChart>
        <c:grouping val="standard"/>
        <c:varyColors val="0"/>
        <c:ser>
          <c:idx val="0"/>
          <c:order val="0"/>
          <c:tx>
            <c:strRef>
              <c:f>Sheet1!$E$3</c:f>
              <c:strCache>
                <c:ptCount val="1"/>
                <c:pt idx="0">
                  <c:v>RON (1/IDSS)</c:v>
                </c:pt>
              </c:strCache>
            </c:strRef>
          </c:tx>
          <c:spPr>
            <a:prstGeom prst="rect">
              <a:avLst/>
            </a:prstGeom>
            <a:ln w="50800" cap="rnd">
              <a:solidFill>
                <a:schemeClr val="accent1"/>
              </a:solidFill>
              <a:round/>
            </a:ln>
            <a:effectLst/>
          </c:spPr>
          <c:cat>
            <c:strRef>
              <c:f>Sheet1!$B$4:$C$14</c:f>
              <c:strCache>
                <c:ptCount val="1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</c:strCache>
            </c:strRef>
          </c:cat>
          <c:val>
            <c:numRef>
              <c:f>Sheet1!$E$4:$E$14</c:f>
              <c:numCache>
                <c:formatCode>General</c:formatCode>
                <c:ptCount val="11"/>
                <c:pt idx="0">
                  <c:v>9.2646636463863175</c:v>
                </c:pt>
                <c:pt idx="1">
                  <c:v>9.3245309760919017</c:v>
                </c:pt>
                <c:pt idx="2">
                  <c:v>9.3747070404049868</c:v>
                </c:pt>
                <c:pt idx="3">
                  <c:v>9.4165505292101397</c:v>
                </c:pt>
                <c:pt idx="4">
                  <c:v>9.4821782459866686</c:v>
                </c:pt>
                <c:pt idx="5">
                  <c:v>9.5517369833704269</c:v>
                </c:pt>
                <c:pt idx="6">
                  <c:v>9.6001536024576399</c:v>
                </c:pt>
                <c:pt idx="7">
                  <c:v>9.6544666389905291</c:v>
                </c:pt>
                <c:pt idx="8">
                  <c:v>9.7108120181009543</c:v>
                </c:pt>
                <c:pt idx="9">
                  <c:v>9.8023839397741543</c:v>
                </c:pt>
                <c:pt idx="10">
                  <c:v>9.9418402346274295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2F-4F7C-A533-3E85098AB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961663"/>
        <c:axId val="1910957343"/>
      </c:lineChart>
      <c:catAx>
        <c:axId val="1910961663"/>
        <c:scaling>
          <c:orientation val="minMax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 marL="0" marR="0" indent="0">
                  <a:defRPr/>
                </a:pPr>
                <a:r>
                  <a:rPr lang="it-IT" sz="2400" b="0" i="0" u="none" strike="noStrike" kern="1200" baseline="0">
                    <a:solidFill>
                      <a:sysClr val="windowText" lastClr="000000"/>
                    </a:solidFill>
                  </a:rPr>
                  <a:t>Stress voltage (V)</a:t>
                </a:r>
              </a:p>
            </c:rich>
          </c:tx>
          <c:layout>
            <c:manualLayout>
              <c:xMode val="edge"/>
              <c:yMode val="edge"/>
              <c:x val="0.45102202063687302"/>
              <c:y val="0.91773937953312612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10957343"/>
        <c:crosses val="autoZero"/>
        <c:auto val="1"/>
        <c:lblAlgn val="ctr"/>
        <c:lblOffset val="100"/>
        <c:noMultiLvlLbl val="1"/>
      </c:catAx>
      <c:valAx>
        <c:axId val="1910957343"/>
        <c:scaling>
          <c:orientation val="minMax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it-IT" sz="2400" b="0">
                    <a:solidFill>
                      <a:sysClr val="windowText" lastClr="000000"/>
                    </a:solidFill>
                  </a:rPr>
                  <a:t>GaN On Resistance (</a:t>
                </a:r>
                <a:r>
                  <a:rPr lang="el-GR" sz="2400" b="0">
                    <a:solidFill>
                      <a:sysClr val="windowText" lastClr="000000"/>
                    </a:solidFill>
                  </a:rPr>
                  <a:t>Ω</a:t>
                </a:r>
                <a:r>
                  <a:rPr lang="it-IT" sz="2400" b="0">
                    <a:solidFill>
                      <a:sysClr val="windowText" lastClr="000000"/>
                    </a:solidFill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1.2997261658908708E-2"/>
              <c:y val="0.28653298242520858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10961663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421822</xdr:colOff>
      <xdr:row>22</xdr:row>
      <xdr:rowOff>175656</xdr:rowOff>
    </xdr:from>
    <xdr:to>
      <xdr:col>20</xdr:col>
      <xdr:colOff>6184</xdr:colOff>
      <xdr:row>57</xdr:row>
      <xdr:rowOff>71746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</xdr:colOff>
      <xdr:row>23</xdr:row>
      <xdr:rowOff>11132</xdr:rowOff>
    </xdr:from>
    <xdr:to>
      <xdr:col>41</xdr:col>
      <xdr:colOff>190610</xdr:colOff>
      <xdr:row>57</xdr:row>
      <xdr:rowOff>96932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ioel\Koofr\universit&#224;\tesi_magistrale\misure_stress_test_GaN-%20XLSX\test-iniziale-IDVD-ciclo-1.xlsx" TargetMode="External"/><Relationship Id="rId1" Type="http://schemas.openxmlformats.org/officeDocument/2006/relationships/externalLinkPath" Target="test-iniziale-IDVD-ciclo-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3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4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5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7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8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9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test-iniziale-IDVD-ciclo-10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ioel\Koofr\universit&#224;\tesi_magistrale\misure_stress_test_GaN-%20XLSX\test-finale-IDVD.xlsx" TargetMode="External"/><Relationship Id="rId1" Type="http://schemas.openxmlformats.org/officeDocument/2006/relationships/externalLinkPath" Target="test-finale-IDV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st-iniziale-IDVD-ciclo-1"/>
    </sheetNames>
    <sheetDataSet>
      <sheetData sheetId="0">
        <row r="367">
          <cell r="F367">
            <v>0.10793700000000001</v>
          </cell>
        </row>
        <row r="427">
          <cell r="F427">
            <v>0.23661099999999999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2"/>
    </sheetNames>
    <sheetDataSet>
      <sheetData sheetId="0">
        <row r="367">
          <cell r="F367">
            <v>0.10724400000000001</v>
          </cell>
        </row>
        <row r="427">
          <cell r="F427">
            <v>0.23239199999999999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3"/>
    </sheetNames>
    <sheetDataSet>
      <sheetData sheetId="0">
        <row r="367">
          <cell r="F367">
            <v>0.10667</v>
          </cell>
        </row>
        <row r="427">
          <cell r="F427">
            <v>0.23014799999999999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4"/>
    </sheetNames>
    <sheetDataSet>
      <sheetData sheetId="0">
        <row r="367">
          <cell r="F367">
            <v>0.106196</v>
          </cell>
        </row>
        <row r="427">
          <cell r="F427">
            <v>0.22916300000000001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5"/>
    </sheetNames>
    <sheetDataSet>
      <sheetData sheetId="0">
        <row r="367">
          <cell r="F367">
            <v>0.105461</v>
          </cell>
        </row>
        <row r="427">
          <cell r="F427">
            <v>0.22803000000000001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6"/>
    </sheetNames>
    <sheetDataSet>
      <sheetData sheetId="0">
        <row r="367">
          <cell r="F367">
            <v>0.10469299999999999</v>
          </cell>
        </row>
        <row r="427">
          <cell r="F427">
            <v>0.22664899999999999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7"/>
    </sheetNames>
    <sheetDataSet>
      <sheetData sheetId="0">
        <row r="367">
          <cell r="F367">
            <v>0.10416499999999999</v>
          </cell>
        </row>
        <row r="427">
          <cell r="F427">
            <v>0.22497700000000001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8"/>
    </sheetNames>
    <sheetDataSet>
      <sheetData sheetId="0">
        <row r="367">
          <cell r="F367">
            <v>0.103579</v>
          </cell>
        </row>
        <row r="427">
          <cell r="F427">
            <v>0.22355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9"/>
    </sheetNames>
    <sheetDataSet>
      <sheetData sheetId="0">
        <row r="367">
          <cell r="F367">
            <v>0.102978</v>
          </cell>
        </row>
        <row r="427">
          <cell r="F427">
            <v>0.22228400000000001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st-iniziale-IDVD-ciclo-10"/>
    </sheetNames>
    <sheetDataSet>
      <sheetData sheetId="0">
        <row r="367">
          <cell r="F367">
            <v>0.102016</v>
          </cell>
        </row>
        <row r="427">
          <cell r="F427">
            <v>0.22103200000000001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st-finale-IDVD"/>
    </sheetNames>
    <sheetDataSet>
      <sheetData sheetId="0">
        <row r="367">
          <cell r="F367">
            <v>0.10058499999999999</v>
          </cell>
        </row>
        <row r="427">
          <cell r="F427">
            <v>0.21945600000000001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14"/>
  <sheetViews>
    <sheetView tabSelected="1" zoomScale="55" zoomScaleNormal="55" workbookViewId="0">
      <selection activeCell="AF15" sqref="AF15"/>
    </sheetView>
  </sheetViews>
  <sheetFormatPr defaultRowHeight="15" x14ac:dyDescent="0.25"/>
  <sheetData>
    <row r="3" spans="2:9" x14ac:dyDescent="0.25">
      <c r="B3" s="2" t="s">
        <v>0</v>
      </c>
      <c r="C3" s="2"/>
      <c r="D3" s="1" t="s">
        <v>1</v>
      </c>
      <c r="E3" s="1" t="s">
        <v>2</v>
      </c>
    </row>
    <row r="4" spans="2:9" x14ac:dyDescent="0.25">
      <c r="B4" s="3">
        <v>0</v>
      </c>
      <c r="C4" s="3"/>
      <c r="D4">
        <f>'[1]test-iniziale-IDVD-ciclo-1'!$F$427</f>
        <v>0.23661099999999999</v>
      </c>
      <c r="E4">
        <f>1/('[1]test-iniziale-IDVD-ciclo-1'!$F$367)</f>
        <v>9.2646636463863175</v>
      </c>
    </row>
    <row r="5" spans="2:9" x14ac:dyDescent="0.25">
      <c r="B5" s="3">
        <v>10</v>
      </c>
      <c r="C5" s="3"/>
      <c r="D5">
        <f>'[2]test-iniziale-IDVD-ciclo-2'!$F$427</f>
        <v>0.23239199999999999</v>
      </c>
      <c r="E5">
        <f>1/('[2]test-iniziale-IDVD-ciclo-2'!$F$367)</f>
        <v>9.3245309760919017</v>
      </c>
      <c r="I5" t="s">
        <v>3</v>
      </c>
    </row>
    <row r="6" spans="2:9" x14ac:dyDescent="0.25">
      <c r="B6" s="3">
        <v>20</v>
      </c>
      <c r="C6" s="3"/>
      <c r="D6">
        <f>'[3]test-iniziale-IDVD-ciclo-3'!$F$427</f>
        <v>0.23014799999999999</v>
      </c>
      <c r="E6">
        <f>1/('[3]test-iniziale-IDVD-ciclo-3'!$F$367)</f>
        <v>9.3747070404049868</v>
      </c>
    </row>
    <row r="7" spans="2:9" x14ac:dyDescent="0.25">
      <c r="B7" s="3">
        <v>30</v>
      </c>
      <c r="C7" s="3"/>
      <c r="D7">
        <f>'[4]test-iniziale-IDVD-ciclo-4'!$F$427</f>
        <v>0.22916300000000001</v>
      </c>
      <c r="E7">
        <f>1/('[4]test-iniziale-IDVD-ciclo-4'!$F$367)</f>
        <v>9.4165505292101397</v>
      </c>
      <c r="I7" t="s">
        <v>4</v>
      </c>
    </row>
    <row r="8" spans="2:9" x14ac:dyDescent="0.25">
      <c r="B8" s="3">
        <v>40</v>
      </c>
      <c r="C8" s="3"/>
      <c r="D8">
        <f>'[5]test-iniziale-IDVD-ciclo-5'!$F$427</f>
        <v>0.22803000000000001</v>
      </c>
      <c r="E8">
        <f>1/('[5]test-iniziale-IDVD-ciclo-5'!$F$367)</f>
        <v>9.4821782459866686</v>
      </c>
      <c r="I8" t="s">
        <v>5</v>
      </c>
    </row>
    <row r="9" spans="2:9" x14ac:dyDescent="0.25">
      <c r="B9" s="3">
        <v>50</v>
      </c>
      <c r="C9" s="3"/>
      <c r="D9">
        <f>'[6]test-iniziale-IDVD-ciclo-6'!$F$427</f>
        <v>0.22664899999999999</v>
      </c>
      <c r="E9">
        <f>1/('[6]test-iniziale-IDVD-ciclo-6'!$F$367)</f>
        <v>9.5517369833704269</v>
      </c>
    </row>
    <row r="10" spans="2:9" x14ac:dyDescent="0.25">
      <c r="B10" s="3">
        <v>60</v>
      </c>
      <c r="C10" s="3"/>
      <c r="D10">
        <f>'[7]test-iniziale-IDVD-ciclo-7'!$F$427</f>
        <v>0.22497700000000001</v>
      </c>
      <c r="E10">
        <f>1/('[7]test-iniziale-IDVD-ciclo-7'!$F$367)</f>
        <v>9.6001536024576399</v>
      </c>
    </row>
    <row r="11" spans="2:9" x14ac:dyDescent="0.25">
      <c r="B11" s="3">
        <v>70</v>
      </c>
      <c r="C11" s="3"/>
      <c r="D11">
        <f>'[8]test-iniziale-IDVD-ciclo-8'!$F$427</f>
        <v>0.22355</v>
      </c>
      <c r="E11">
        <f>1/('[8]test-iniziale-IDVD-ciclo-8'!$F$367)</f>
        <v>9.6544666389905291</v>
      </c>
    </row>
    <row r="12" spans="2:9" x14ac:dyDescent="0.25">
      <c r="B12" s="3">
        <v>80</v>
      </c>
      <c r="C12" s="3"/>
      <c r="D12">
        <f>'[9]test-iniziale-IDVD-ciclo-9'!$F$427</f>
        <v>0.22228400000000001</v>
      </c>
      <c r="E12">
        <f>1/('[9]test-iniziale-IDVD-ciclo-9'!$F$367)</f>
        <v>9.7108120181009543</v>
      </c>
    </row>
    <row r="13" spans="2:9" x14ac:dyDescent="0.25">
      <c r="B13" s="3">
        <v>90</v>
      </c>
      <c r="C13" s="3"/>
      <c r="D13">
        <f>'[10]test-iniziale-IDVD-ciclo-10'!$F$427</f>
        <v>0.22103200000000001</v>
      </c>
      <c r="E13">
        <f>1/('[10]test-iniziale-IDVD-ciclo-10'!$F$367)</f>
        <v>9.8023839397741543</v>
      </c>
    </row>
    <row r="14" spans="2:9" x14ac:dyDescent="0.25">
      <c r="B14" s="3">
        <v>100</v>
      </c>
      <c r="C14" s="3"/>
      <c r="D14">
        <f>'[11]test-finale-IDVD'!$F$427</f>
        <v>0.21945600000000001</v>
      </c>
      <c r="E14">
        <f>1/('[11]test-finale-IDVD'!$F$367)</f>
        <v>9.9418402346274295</v>
      </c>
    </row>
  </sheetData>
  <mergeCells count="12">
    <mergeCell ref="B13:C13"/>
    <mergeCell ref="B14:C14"/>
    <mergeCell ref="B8:C8"/>
    <mergeCell ref="B9:C9"/>
    <mergeCell ref="B10:C10"/>
    <mergeCell ref="B11:C11"/>
    <mergeCell ref="B12:C12"/>
    <mergeCell ref="B3:C3"/>
    <mergeCell ref="B4:C4"/>
    <mergeCell ref="B5:C5"/>
    <mergeCell ref="B6:C6"/>
    <mergeCell ref="B7:C7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Gioele Bianchi</dc:creator>
  <cp:lastModifiedBy>GIOELE BIANCHI</cp:lastModifiedBy>
  <cp:revision>1</cp:revision>
  <dcterms:created xsi:type="dcterms:W3CDTF">2015-06-05T18:17:20Z</dcterms:created>
  <dcterms:modified xsi:type="dcterms:W3CDTF">2026-03-31T21:50:53Z</dcterms:modified>
</cp:coreProperties>
</file>